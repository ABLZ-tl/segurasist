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mc:AlternateContent xmlns:mc="http://schemas.openxmlformats.org/markup-compatibility/2006">
    <mc:Choice Requires="x15">
      <x15ac:absPath xmlns:x15ac="http://schemas.microsoft.com/office/spreadsheetml/2010/11/ac" url="/Users/ablz/Documents/Claude/Projects/SegurAsist/"/>
    </mc:Choice>
  </mc:AlternateContent>
  <xr:revisionPtr revIDLastSave="0" documentId="13_ncr:1_{B2702991-1393-224D-8BAF-C8C8F6CEAA5F}" xr6:coauthVersionLast="47" xr6:coauthVersionMax="47" xr10:uidLastSave="{00000000-0000-0000-0000-000000000000}"/>
  <bookViews>
    <workbookView xWindow="29920" yWindow="0" windowWidth="38400" windowHeight="21600" tabRatio="500" xr2:uid="{00000000-000D-0000-FFFF-FFFF00000000}"/>
  </bookViews>
  <sheets>
    <sheet name="Evaluación SaaS" sheetId="1" r:id="rId1"/>
    <sheet name="Conclus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9" i="2" l="1"/>
  <c r="B8" i="2"/>
  <c r="B7" i="2"/>
  <c r="B4" i="2"/>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 r="B5" i="2" l="1"/>
  <c r="B6" i="2" s="1"/>
  <c r="B17" i="2" s="1"/>
</calcChain>
</file>

<file path=xl/sharedStrings.xml><?xml version="1.0" encoding="utf-8"?>
<sst xmlns="http://schemas.openxmlformats.org/spreadsheetml/2006/main" count="293" uniqueCount="204">
  <si>
    <t>Categoría</t>
  </si>
  <si>
    <t>Control</t>
  </si>
  <si>
    <t>Pregunta al Proveedor</t>
  </si>
  <si>
    <t>Justificación ISO 27001</t>
  </si>
  <si>
    <t>Justificación NIST</t>
  </si>
  <si>
    <t xml:space="preserve">Respuesta del Proveedor, Observaciones </t>
  </si>
  <si>
    <t>Cumple (si/no)</t>
  </si>
  <si>
    <t>Riesgo</t>
  </si>
  <si>
    <t>Puntaje Máximo</t>
  </si>
  <si>
    <t>Puntaje Automático</t>
  </si>
  <si>
    <t>Gobernanza</t>
  </si>
  <si>
    <t>Política de Seguridad</t>
  </si>
  <si>
    <t>¿Cuenta con políticas de seguridad y certificaciones ISO/SOC2?</t>
  </si>
  <si>
    <t>ISO 27001 Cláusula 5, A.5.1 – Requiere políticas formalizadas.</t>
  </si>
  <si>
    <t>NIST CSF GV-1, GV-3; NIST 800-53 PM-1 – Exige gobernanza.</t>
  </si>
  <si>
    <t>Parcial</t>
  </si>
  <si>
    <t>Alto</t>
  </si>
  <si>
    <t>Cumplimiento Legal</t>
  </si>
  <si>
    <t>¿Cumple regulaciones de protección de datos (GDPR, etc.)?</t>
  </si>
  <si>
    <t>ISO A.5.31, A.5.32 – Cumplimiento de leyes aplicables.</t>
  </si>
  <si>
    <t>NIST GV-2; 800-53 AR-1 – Identificación de requisitos legales.</t>
  </si>
  <si>
    <t>Cumplimos con la LFPDPPP (jurisdicción aplicable): Aviso de Privacidad publicado, procedimiento ARCO operativo (acuse ≤5 días, respuesta ≤20 días hábiles) y DPO designado. Para transferencias internacionales usamos el modelo de responsabilidad compartida AWS con DPA firmado (AWS Artifact). Evaluación GDPR caso por caso con SCCs si hay residentes UE.</t>
  </si>
  <si>
    <t>Si</t>
  </si>
  <si>
    <t>Gestión de Subprocesadores</t>
  </si>
  <si>
    <t>¿Utiliza terceros? ¿Están certificados?</t>
  </si>
  <si>
    <t>ISO A.5.19, A.5.27 – Gestión de proveedores.</t>
  </si>
  <si>
    <t>NIST ID.SC-1, ID.SC-3; 800-53 SR-3 – Gestión cadena suministro.</t>
  </si>
  <si>
    <t>IAM</t>
  </si>
  <si>
    <t>SSO y MFA</t>
  </si>
  <si>
    <t>¿Soporta SSO (SAML/OAuth2) y MFA obligatorio?</t>
  </si>
  <si>
    <t>ISO A.5.17 – Autenticación fuerte.</t>
  </si>
  <si>
    <t>NIST PR.AC-1, IA-2 – MFA requerido.</t>
  </si>
  <si>
    <t>Sí. SSO vía SAML 2.0 y OpenID Connect a través de Amazon Cognito User Pools federado con el IdP del cliente (Okta, Azure AD, Google Workspace). MFA obligatorio para 100% de administradores (MAC y SegurAsist) y operadores. Para asegurados finales, MFA vía TOTP y email, activable como obligatorio por configuración del tenant.</t>
  </si>
  <si>
    <t>RBAC/ABAC</t>
  </si>
  <si>
    <t>¿Ofrece roles con privilegios mínimos?</t>
  </si>
  <si>
    <t>ISO A.5.18 – Privilegios mínimos.</t>
  </si>
  <si>
    <t>NIST AC-6 – Least privilege.</t>
  </si>
  <si>
    <t>Sí. RBAC con 4 roles predefinidos: Admin MAC, Operador (solo carga de asegurados), Admin SegurAsist, Supervisor. Principio least-privilege por defecto. Aislamiento multitenant reforzado por Row-Level Security de PostgreSQL (tenant_id en cada tabla) y por buckets S3 separados por cliente. Tests automatizados en CI validan que ningún endpoint cruza tenants.</t>
  </si>
  <si>
    <t>Medio</t>
  </si>
  <si>
    <t>Ciclo de vida de usuarios</t>
  </si>
  <si>
    <t>¿Automatiza altas, bajas y cambios vía SSO?</t>
  </si>
  <si>
    <t>ISO A.5.20 – Gestión ciclo de acceso.</t>
  </si>
  <si>
    <t>NIST AC-2 – Control de cuentas.</t>
  </si>
  <si>
    <t>Soporte SCIM 2.0 nativo en Amazon Cognito para aprovisionamiento desde IdP compatible. Altas/bajas sincronizan en tiempo real; cambios de rol requieren aprobación dual por política. En ausencia de IdP del cliente, gestión manual desde el dashboard de admin con checklist de onboarding/offboarding (revocación ≤24h).</t>
  </si>
  <si>
    <t>Auditoría de accesos</t>
  </si>
  <si>
    <t>¿Registra accesos exitosos y fallidos?</t>
  </si>
  <si>
    <t>ISO A.8.15 – Trazabilidad.</t>
  </si>
  <si>
    <t>NIST AU-12 – Logging obligatorio.</t>
  </si>
  <si>
    <t>Sí. Logs inmutables de auditoría almacenados en Amazon S3 con Object Lock (modo Compliance) capturan: accesos exitosos y fallidos, creación/modificación/eliminación de pólizas y coberturas, exportaciones de datos y cambios de configuración. Cada evento incluye timestamp, user_id, IP origen, user-agent y recurso. Centralizados en CloudWatch Logs con retención de 12 meses online y 24 meses en S3 Glacier.</t>
  </si>
  <si>
    <t>Datos</t>
  </si>
  <si>
    <t>Cifrado</t>
  </si>
  <si>
    <t>¿Cifran datos en tránsito (TLS1.2+) y reposo (AES-256)?</t>
  </si>
  <si>
    <t>ISO A.8.24 – Cifrado obligatorio.</t>
  </si>
  <si>
    <t>NIST SC-13, SC-28 – Protección criptográfica.</t>
  </si>
  <si>
    <t>Sí. Tránsito: TLS 1.3 forzado (TLS &lt;1.2 rechazado) con HSTS; certificados gestionados por AWS Certificate Manager. Reposo: AES-256 en RDS PostgreSQL, S3, EBS y backups, con llaves administradas por AWS KMS (Customer Managed Keys). Rotación anual automática de las CMK habilitada. Llaves aisladas por ambiente (dev/staging/prod).</t>
  </si>
  <si>
    <t>Ubicación de Datos</t>
  </si>
  <si>
    <t>¿En qué país/región se almacenan los datos?</t>
  </si>
  <si>
    <t>ISO A.5.31 – Protección legal según jurisdicción.</t>
  </si>
  <si>
    <t>NIST GV-2 – Restricciones legales.</t>
  </si>
  <si>
    <t>Región primaria: us-east-1 (N. Virginia). Región de disaster recovery: us-east-2 (Ohio) con réplica asíncrona. Transferencia internacional amparada por LFPDPPP Art. 36 y DPA firmado con MAC. Para clientes que requieran residencia estricta en México, disponible migración a AWS México (mx-central-1) como SKU premium. Backups replicados cross-region con versionado y Object Lock.</t>
  </si>
  <si>
    <t>Retención y Borrado</t>
  </si>
  <si>
    <t>¿Poseen políticas de retención y borrado seguro?</t>
  </si>
  <si>
    <t>ISO A.8.11 – Eliminación segura.</t>
  </si>
  <si>
    <t>NIST MP-6 – Sanitización.</t>
  </si>
  <si>
    <t>Política formal: datos productivos retenidos durante la vigencia del contrato más 6 meses de gracia para portabilidad. Backups RDS con retención de 7 días (point-in-time recovery) y snapshots semanales conservados 30 días. Al finalizar, borrado seguro conforme a NIST SP 800-88 Rev 1 (crypto-shredding de llaves KMS + eliminación de datos cifrados) y emisión de certificado formal de eliminación con fecha, método y firma del CISO.</t>
  </si>
  <si>
    <t>Contrato DPA</t>
  </si>
  <si>
    <t>¿Existe acuerdo de procesamiento de datos?</t>
  </si>
  <si>
    <t>ISO A.5.31 – Obligación contractual.</t>
  </si>
  <si>
    <t>NIST PL-2 – Protección contractual.</t>
  </si>
  <si>
    <t>Sí. Plantilla de DPA anexa al contrato maestro, alineada a LFPDPPP con cláusulas opcionales GDPR (SCCs) para residentes UE. Incluye: obligaciones de notificación de brechas ≤72h, lista de subprocesadores autorizados, derecho de auditoría, devolución/eliminación de datos al terminar, y limitación de procesamiento a instrucciones del responsable.</t>
  </si>
  <si>
    <t>AppSec</t>
  </si>
  <si>
    <t>PenTesting Anual</t>
  </si>
  <si>
    <t>¿Realizan pruebas de penetración anualmente?</t>
  </si>
  <si>
    <t>ISO A.8.25 – Pruebas de seguridad.</t>
  </si>
  <si>
    <t>NIST RA-5, CA-8 – Evaluaciones de seguridad.</t>
  </si>
  <si>
    <t>Pipeline CI/CD ejecuta evaluaciones continuas: SAST (Semgrep con reglas OWASP), SCA (Dependabot), DAST (OWASP ZAP en staging por PR). Pentest externo anual por firma especializada acreditada (primer ciclo Q3-2026; contrato en proceso). Reporte y plan de remediación compartibles con el cliente bajo NDA una vez ejecutado.</t>
  </si>
  <si>
    <t>OWASP (SAST/DAST)</t>
  </si>
  <si>
    <t>¿Evalúan OWASP Top 10?</t>
  </si>
  <si>
    <t>ISO A.8.25 – Desarrollo seguro.</t>
  </si>
  <si>
    <t>NIST SA-11 – Validación seguridad software.</t>
  </si>
  <si>
    <t>Sí. OWASP Top 10 cubierto en múltiples capas: parametrización de queries (PostgreSQL + ORM), output encoding, cabeceras de seguridad (CSP, X-Frame-Options, HSTS, Referrer-Policy), WAF con reglas AWS Managed Rules - OWASP Top 10, input validation en backend con Zod/class-validator, code review obligatorio en PR. Reportes de Semgrep/ZAP/Dependabot disponibles.</t>
  </si>
  <si>
    <t>Gestión de Vulnerabilidades</t>
  </si>
  <si>
    <t>¿Parchean vulnerabilidades críticas en menos de 30 días?</t>
  </si>
  <si>
    <t>ISO A.8.8 – Vulnerability management.</t>
  </si>
  <si>
    <t>NIST SI-2 – Patches obligatorios.</t>
  </si>
  <si>
    <t>SLA interno de remediación: Crítica ≤7 días, Alta ≤30 días, Media ≤60 días, Baja ≤90 días, medidos desde divulgación pública del CVE o descubrimiento interno. Monitoreo continuo vía Dependabot (GitHub), Amazon Inspector (hosts y contenedores) y GuardDuty (amenazas activas). Métricas MTTR publicadas mensualmente en el reporte al Comité de Seguridad.</t>
  </si>
  <si>
    <t>Aislamiento Multitenant</t>
  </si>
  <si>
    <t>¿Existe aislamiento entre clientes?</t>
  </si>
  <si>
    <t>ISO A.8.16 – Segregación en ambientes compartidos.</t>
  </si>
  <si>
    <t>NIST SC-3 – Isolation.</t>
  </si>
  <si>
    <t>Sí. Aislamiento lógico obligatorio por tenant_id en todos los queries, reforzado por Row-Level Security de PostgreSQL (policy por tabla). Prefijos de bucket S3 separados por tenant. Tests automatizados en CI verifican que un usuario de tenant A recibe 403 al consultar recursos de tenant B. Opción de dedicated schema para clientes enterprise.</t>
  </si>
  <si>
    <t>API</t>
  </si>
  <si>
    <t>Autenticación API</t>
  </si>
  <si>
    <t>¿OAuth2, llaves rotables y rate-limiting?</t>
  </si>
  <si>
    <t>ISO A.8.23 – Desarrollo seguro.</t>
  </si>
  <si>
    <t>NIST AC-4; SC-7 – Control de acceso y protección de interfaces.</t>
  </si>
  <si>
    <t>Sí. Amazon Cognito emite JWTs OAuth 2.0 de corta duración (15 min access, 7 días refresh). API keys con rotación y revocación inmediata desde el dashboard. Rate-limiting por tenant y por endpoint a través de AWS WAF Rate-Based Rules (default 100 req/min, configurable por cliente). Soporte mTLS para integraciones enterprise vía Amazon API Gateway.</t>
  </si>
  <si>
    <t>Scopes API</t>
  </si>
  <si>
    <t>¿Permisos granulares por token?</t>
  </si>
  <si>
    <t>ISO A.5.17 – Acceso autorizado.</t>
  </si>
  <si>
    <t>NIST AC-3 – Control de acceso.</t>
  </si>
  <si>
    <t>Sí. Scopes OAuth2 granulares por recurso y acción (ej. read:policies, write:policies, read:insureds, admin:users, export:data). Los tokens se emiten con el conjunto mínimo de scopes requeridos por el caso de uso. Configuración centralizada en Cognito Resource Servers.</t>
  </si>
  <si>
    <t>Logs API</t>
  </si>
  <si>
    <t>¿Registra uso y errores de API?</t>
  </si>
  <si>
    <t>ISO A.8.15 – Auditoría.</t>
  </si>
  <si>
    <t>NIST AU-12 – Logs de actividad.</t>
  </si>
  <si>
    <t>Sí. Logs estructurados en JSON de cada llamada API (endpoint, método, user_id, tenant_id, status, latencia, tamaño, IP origen) enviados a CloudWatch Logs con correlación vía trace_id de AWS X-Ray. Errores con stack trace server-side. Alarmas automáticas por picos de 4xx/5xx, latencia p95 y anomalías.</t>
  </si>
  <si>
    <t>Incidentes</t>
  </si>
  <si>
    <t>IRP</t>
  </si>
  <si>
    <t>¿Tienen plan formal de respuesta a incidentes?</t>
  </si>
  <si>
    <t>ISO A.5.24 – Gestión de incidentes.</t>
  </si>
  <si>
    <t>NIST IR-1; RS.RP-1 – IR Plan.</t>
  </si>
  <si>
    <t>Sí. Plan de Respuesta a Incidentes documentado siguiendo NIST SP 800-61 Rev 2 (fases Preparación → Detección → Contención → Erradicación → Recuperación → Lecciones aprendidas). Roles formales: IR Lead (CISO), Comms Lead, Legal Counsel. Runbooks específicos para brecha de datos, ransomware, DDoS e insider. Primer simulacro tabletop programado Q2-2026.</t>
  </si>
  <si>
    <t>Notificación Brechas</t>
  </si>
  <si>
    <t>¿En cuánto tiempo notifican una brecha?</t>
  </si>
  <si>
    <t>ISO A.5.25 – Notificación obligatoria.</t>
  </si>
  <si>
    <t>NIST RS.CO-5 – Comunicación de incidentes.</t>
  </si>
  <si>
    <t>Notificación al cliente ≤72 horas desde la confirmación de una brecha con impacto a sus datos, conforme a LFPDPPP y buenas prácticas. Para incidentes P1 (críticos), notificación inicial preliminar ≤4 horas (aunque aún se esté investigando). Comunicación de seguimiento hasta cierre. Plantillas de notificación pre-aprobadas por legal.</t>
  </si>
  <si>
    <t>Monitoreo 24/7</t>
  </si>
  <si>
    <t>¿Tienen SOC o monitoreo continuo?</t>
  </si>
  <si>
    <t>ISO A.5.7 – Monitorización.</t>
  </si>
  <si>
    <t>NIST SI-4 – Continuous monitoring.</t>
  </si>
  <si>
    <t>Monitoreo técnico 24/7 vía Amazon CloudWatch + GuardDuty con alarmas ruteadas a rotación de on-call de ingeniería. SLA de respuesta P1 (crítico): 15 minutos al acuse, ≤4 horas a resolución. Contratación de SOC tercerizado (MDR) en evaluación para Q1-2027. Actualmente cubierto por monitoreo automatizado + on-call.</t>
  </si>
  <si>
    <t>Infraestructura</t>
  </si>
  <si>
    <t>SLA/Uptime</t>
  </si>
  <si>
    <t>¿Garantizan 99.9% mínimo?</t>
  </si>
  <si>
    <t>ISO A.5.33 – Continuidad.</t>
  </si>
  <si>
    <t>NIST ID.BE-5; CP-2 – Business continuity.</t>
  </si>
  <si>
    <t>SLA contractual base: 99.5% mensual (máximo 3.6 hrs de downtime planeado al mes, fuera de horario laboral, con aviso ≥48 hrs). Disponible 99.9% como addendum con cargo adicional, habilitado por réplica activa cross-region (us-east-1 + us-east-2 activo-activo). Exclusiones estándar: fuerza mayor, mantenimiento planeado, causas del cliente.</t>
  </si>
  <si>
    <t>Backups</t>
  </si>
  <si>
    <t>¿Realizan respaldos y pruebas de restauración?</t>
  </si>
  <si>
    <t>ISO A.8.13 – Respaldo.</t>
  </si>
  <si>
    <t>NIST CP-9 – Backup policy.</t>
  </si>
  <si>
    <t>Sí. Amazon RDS con backups automáticos: diarios completos + point-in-time recovery de 7 días. Snapshots semanales con retención 30 días. Cross-region copy a us-east-2. Pruebas de restauración mensuales en ambiente aislado, documentadas con RTO medido. RPO ≤24 hrs, RTO ≤4 hrs.</t>
  </si>
  <si>
    <t>DRP</t>
  </si>
  <si>
    <t>¿Cuentan con plan de recuperación ante desastres?</t>
  </si>
  <si>
    <t>ISO A.5.30 – Continuidad.</t>
  </si>
  <si>
    <t>NIST CP-10 – Disaster recovery.</t>
  </si>
  <si>
    <t>Sí. DRP documentado, probado cada 6 meses con ejercicio controlado. Arquitectura multi-AZ en us-east-1 (failover automático) + réplica cross-region a us-east-2 (failover manual ≤30 min). Runbooks por escenario (AZ down, region down, data corruption). RTO ≤4 hrs, RPO ≤24 hrs.</t>
  </si>
  <si>
    <t>Hardening</t>
  </si>
  <si>
    <t>¿Aplican benchmarks CIS o equivalentes?</t>
  </si>
  <si>
    <t>ISO A.8.20 – Configuración segura.</t>
  </si>
  <si>
    <t>NIST CM-6 – Configuration standards.</t>
  </si>
  <si>
    <t>Sí. CIS Benchmarks aplicados: AWS Foundations v2.0, PostgreSQL 16, Amazon Linux 2023, Docker. Auditoría automatizada continua vía AWS Config + AWS Security Hub (integración nativa). Desviaciones priorizadas semanalmente y remediadas según criticidad.</t>
  </si>
  <si>
    <t>Auditoría</t>
  </si>
  <si>
    <t>Retención de Logs</t>
  </si>
  <si>
    <t>¿Conservan logs ≥12 meses?</t>
  </si>
  <si>
    <t>ISO A.8.15 – Evidencia.</t>
  </si>
  <si>
    <t>NIST AU-11 – Log retention.</t>
  </si>
  <si>
    <t>Sí. Amazon CloudWatch Logs con retención 12 meses online (consulta rápida). Archivado a Amazon S3 Glacier Deep Archive con retención 24 meses adicionales. Logs de seguridad (accesos, autenticación, cambios) retenidos 24 meses online. Integridad garantizada por S3 Object Lock (modo Compliance).</t>
  </si>
  <si>
    <t>Alertas</t>
  </si>
  <si>
    <t>¿Generan alertas automáticas por anomalías?</t>
  </si>
  <si>
    <t>NIST DE.AE-2 – Anomalías detectadas.</t>
  </si>
  <si>
    <t>Sí. Reglas de detección automatizadas en CloudWatch + GuardDuty: picos de login fallidos, accesos desde geografías atípicas, exfiltración masiva, intentos cross-tenant, anomalías en error rate o latencia. Alertas ruteadas al canal on-call (PagerDuty / equivalente). Severidad definida según tabla de clasificación.</t>
  </si>
  <si>
    <t>Acceso a Logs</t>
  </si>
  <si>
    <t>¿El cliente puede solicitar logs?</t>
  </si>
  <si>
    <t>ISO A.5.36 – Transparencia.</t>
  </si>
  <si>
    <t>NIST AU-6 – Log access.</t>
  </si>
  <si>
    <t>Sí. El cliente puede solicitar sus logs de auditoría por ticket al CSM (respuesta ≤2 días hábiles). Para clientes enterprise, acceso self-service al subconjunto de logs de su tenant vía dashboard y API de export (CSV/JSON). Exportación firmada digitalmente para cadena de custodia.</t>
  </si>
  <si>
    <t>Física</t>
  </si>
  <si>
    <t>DC Certificados</t>
  </si>
  <si>
    <t>¿Datacenters Tier III/IV?</t>
  </si>
  <si>
    <t>ISO A.7.3 – Protección física.</t>
  </si>
  <si>
    <t>NIST PE-3 – Physical security.</t>
  </si>
  <si>
    <t>Infraestructura en AWS. Los data centers AWS (us-east-1, us-east-2) cuentan con certificaciones SOC 1/2/3, ISO 27001, ISO 27017, ISO 27018, PCI DSS, HIPAA BAA, FedRAMP High y clasificación Tier III+. Evidencia disponible bajo NDA en AWS Artifact.</t>
  </si>
  <si>
    <t>Acceso Restringido</t>
  </si>
  <si>
    <t>¿Controlan y monitorean acceso físico?</t>
  </si>
  <si>
    <t>ISO A.7.4 – Entry controls.</t>
  </si>
  <si>
    <t>NIST PE-2 – Physical access.</t>
  </si>
  <si>
    <t>Controlado por AWS: acceso biométrico multi-factor, CCTV 24/7, escolta para visitantes, bitácora auditada, segregación por zonas de sensibilidad. Evidencia en reporte SOC 2 Tipo II de AWS (disponible vía AWS Artifact bajo NDA).</t>
  </si>
  <si>
    <t>Contrato</t>
  </si>
  <si>
    <t>Propiedad de Datos</t>
  </si>
  <si>
    <t>¿El cliente conserva la propiedad total?</t>
  </si>
  <si>
    <t>Sí. El cliente conserva propiedad total e irrestricta de sus datos. SegurAsist actúa exclusivamente como procesador conforme al DPA. Los datos del cliente NO se utilizan para entrenar modelos de IA, análisis agregado comercial, ni se comparten con terceros fuera de los subprocesadores declarados.</t>
  </si>
  <si>
    <t>Portabilidad</t>
  </si>
  <si>
    <t>¿Pueden exportarse datos al finalizar contrato?</t>
  </si>
  <si>
    <t>ISO A.5.31 – Transferencia adecuada.</t>
  </si>
  <si>
    <t>NIST ID.AM-5 – Data portability.</t>
  </si>
  <si>
    <t>Sí. Al finalizar el contrato el cliente dispone de 30 días para exportar sus datos en formatos estándar (CSV, JSON, Excel, PDF para certificados) vía dashboard y API. Asistencia técnica incluida para migración. Durante la vigencia, exports self-service disponibles en cualquier momento.</t>
  </si>
  <si>
    <t>Borrado Seguro</t>
  </si>
  <si>
    <t>¿Emitirán certificado de eliminación?</t>
  </si>
  <si>
    <t>Sí. Tras los 30 días de portabilidad (o inmediatamente a solicitud del cliente), borrado seguro conforme a NIST SP 800-88 Rev 1: eliminación de datos productivos y backups, crypto-shredding de llaves KMS, y emisión de certificado formal firmado por el CISO con fecha, método, alcance y responsable.</t>
  </si>
  <si>
    <t>Conclusión General</t>
  </si>
  <si>
    <t>Métrica</t>
  </si>
  <si>
    <t>Valor</t>
  </si>
  <si>
    <t>Puntaje máximo posible</t>
  </si>
  <si>
    <t>Puntaje obtenido (automático)</t>
  </si>
  <si>
    <t>% Cumplimiento</t>
  </si>
  <si>
    <t>Controles 'Si'</t>
  </si>
  <si>
    <t>Controles 'Parcial'</t>
  </si>
  <si>
    <t>Controles 'No'</t>
  </si>
  <si>
    <t>Interpretación del puntaje</t>
  </si>
  <si>
    <t>≥ 90%</t>
  </si>
  <si>
    <t>Riesgo BAJO. Proveedor apto para operación inmediata.</t>
  </si>
  <si>
    <t>70% – 89%</t>
  </si>
  <si>
    <t>Riesgo MEDIO. Apto con plan de remediación para gaps identificados.</t>
  </si>
  <si>
    <t>50% – 69%</t>
  </si>
  <si>
    <t>Riesgo ALTO. Requiere remediación previa al alta como proveedor.</t>
  </si>
  <si>
    <t>&lt; 50%</t>
  </si>
  <si>
    <t>Riesgo CRÍTICO. No apto para procesamiento de datos sensibles.</t>
  </si>
  <si>
    <t>Evaluación actual:</t>
  </si>
  <si>
    <t>No</t>
  </si>
  <si>
    <t>Contamos con políticas internas de seguridad alineadas al marco ISO 27001:2022 (control de acceso, manejo de datos, IRP, continuidad, BYOD). La certificación ISO 27001 está en roadmap formal: gap assessment may-2026, auditoría Stage 2 julio-2027, certificado dic-2026. SOC 2 Tipo I: ene-2027; Tipo II: mar-2027. Evidencia disponible bajo NDA.</t>
  </si>
  <si>
    <t>Subprocesadores: Amazon Web Services (infraestructura – ISO 27001, SOC 2 Tipo II, HIPAA, PCI DSS, ISO 27017/27018), Amazon Cognito (identidad – parte de AWS), Amazon SES (correo transaccional – parte de AWS), GitHub (repositorios y CI/CD – SOC 2 Tipo II), UptimeRobot (monitoreo externo – SOC 2 Tipo 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</si>
</sst>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
  </numFmts>
  <fonts count="12">
    <font>
      <sz val="11"/>
      <color theme="1"/>
      <name val="Calibri"/>
      <family val="2"/>
      <charset val="1"/>
    </font>
    <font>
      <sz val="10"/>
      <name val="Arial"/>
      <family val="2"/>
    </font>
    <font>
      <b/>
      <sz val="20"/>
      <color theme="1"/>
      <name val="Calibri"/>
      <family val="2"/>
      <charset val="1"/>
    </font>
    <font>
      <sz val="20"/>
      <color theme="1"/>
      <name val="Calibri"/>
      <family val="2"/>
      <charset val="1"/>
    </font>
    <font>
      <sz val="10"/>
      <name val="Arial"/>
      <family val="2"/>
    </font>
    <font>
      <b/>
      <sz val="10"/>
      <name val="Arial"/>
      <family val="2"/>
    </font>
    <font>
      <b/>
      <sz val="14"/>
      <color rgb="FFFFFFFF"/>
      <name val="Arial"/>
      <family val="2"/>
    </font>
    <font>
      <b/>
      <sz val="12"/>
      <color rgb="FFFFFFFF"/>
      <name val="Arial"/>
      <family val="2"/>
    </font>
    <font>
      <sz val="11"/>
      <name val="Arial"/>
      <family val="2"/>
    </font>
    <font>
      <b/>
      <sz val="12"/>
      <color rgb="FF1F3864"/>
      <name val="Arial"/>
      <family val="2"/>
    </font>
    <font>
      <b/>
      <sz val="11"/>
      <name val="Arial"/>
      <family val="2"/>
    </font>
    <font>
      <b/>
      <sz val="12"/>
      <name val="Arial"/>
      <family val="2"/>
    </font>
  </fonts>
  <fills count="10">
    <fill>
      <patternFill patternType="none"/>
    </fill>
    <fill>
      <patternFill patternType="gray125"/>
    </fill>
    <fill>
      <patternFill patternType="solid">
        <fgColor theme="6" tint="0.79989013336588644"/>
        <bgColor rgb="FFFDEADA"/>
      </patternFill>
    </fill>
    <fill>
      <patternFill patternType="solid">
        <fgColor theme="9" tint="0.79989013336588644"/>
        <bgColor rgb="FFEBF1DE"/>
      </patternFill>
    </fill>
    <fill>
      <patternFill patternType="solid">
        <fgColor rgb="FFFFEB9C"/>
        <bgColor rgb="FFFDEADA"/>
      </patternFill>
    </fill>
    <fill>
      <patternFill patternType="solid">
        <fgColor rgb="FFC6EFCE"/>
        <bgColor rgb="FFDBEEF4"/>
      </patternFill>
    </fill>
    <fill>
      <patternFill patternType="solid">
        <fgColor theme="8" tint="0.79989013336588644"/>
        <bgColor rgb="FFEBF1DE"/>
      </patternFill>
    </fill>
    <fill>
      <patternFill patternType="solid">
        <fgColor rgb="FF1F3864"/>
        <bgColor rgb="FF333333"/>
      </patternFill>
    </fill>
    <fill>
      <patternFill patternType="solid">
        <fgColor rgb="FFF4B084"/>
        <bgColor rgb="FFFFC7CE"/>
      </patternFill>
    </fill>
    <fill>
      <patternFill patternType="solid">
        <fgColor rgb="FFFFC7CE"/>
        <bgColor rgb="FFFDEADA"/>
      </patternFill>
    </fill>
  </fills>
  <borders count="3">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9">
    <xf numFmtId="0" fontId="0" fillId="0" borderId="0" xfId="0"/>
    <xf numFmtId="0" fontId="9" fillId="0" borderId="0" xfId="0" applyFont="1"/>
    <xf numFmtId="0" fontId="8" fillId="0" borderId="0" xfId="0" applyFont="1"/>
    <xf numFmtId="0" fontId="6" fillId="7" borderId="0" xfId="0" applyFont="1" applyFill="1" applyAlignment="1">
      <alignment horizontal="center" vertical="center"/>
    </xf>
    <xf numFmtId="0" fontId="0" fillId="0" borderId="0" xfId="0" applyAlignment="1">
      <alignment wrapText="1"/>
    </xf>
    <xf numFmtId="0" fontId="2" fillId="2" borderId="1" xfId="0" applyFont="1" applyFill="1" applyBorder="1" applyAlignment="1">
      <alignment wrapText="1"/>
    </xf>
    <xf numFmtId="0" fontId="2" fillId="2" borderId="1" xfId="0" applyFont="1" applyFill="1" applyBorder="1" applyAlignment="1">
      <alignment vertical="top" wrapText="1"/>
    </xf>
    <xf numFmtId="0" fontId="3" fillId="2" borderId="1" xfId="0" applyFont="1" applyFill="1" applyBorder="1" applyAlignment="1">
      <alignment wrapText="1"/>
    </xf>
    <xf numFmtId="0" fontId="2" fillId="0" borderId="0" xfId="0" applyFont="1" applyAlignment="1">
      <alignment wrapText="1"/>
    </xf>
    <xf numFmtId="0" fontId="0" fillId="3" borderId="1" xfId="0" applyFill="1" applyBorder="1"/>
    <xf numFmtId="0" fontId="4" fillId="3" borderId="2" xfId="0" applyFont="1" applyFill="1" applyBorder="1" applyAlignment="1">
      <alignment vertical="top" wrapText="1"/>
    </xf>
    <xf numFmtId="164" fontId="5" fillId="3" borderId="1" xfId="0" applyNumberFormat="1" applyFont="1" applyFill="1" applyBorder="1" applyAlignment="1">
      <alignment horizontal="center" vertical="center"/>
    </xf>
    <xf numFmtId="0" fontId="0" fillId="6" borderId="1" xfId="0" applyFill="1" applyBorder="1"/>
    <xf numFmtId="0" fontId="4" fillId="6" borderId="1" xfId="0" applyFont="1" applyFill="1" applyBorder="1" applyAlignment="1">
      <alignment vertical="top" wrapText="1"/>
    </xf>
    <xf numFmtId="164" fontId="5" fillId="6" borderId="1" xfId="0" applyNumberFormat="1" applyFont="1" applyFill="1" applyBorder="1" applyAlignment="1">
      <alignment horizontal="center" vertical="center"/>
    </xf>
    <xf numFmtId="0" fontId="0" fillId="3" borderId="0" xfId="0" applyFill="1"/>
    <xf numFmtId="0" fontId="0" fillId="6" borderId="0" xfId="0" applyFill="1"/>
    <xf numFmtId="0" fontId="7" fillId="7" borderId="0" xfId="0" applyFont="1" applyFill="1" applyAlignment="1">
      <alignment horizontal="center" vertical="center"/>
    </xf>
    <xf numFmtId="0" fontId="8" fillId="0" borderId="0" xfId="0" applyFont="1"/>
    <xf numFmtId="165" fontId="8" fillId="0" borderId="0" xfId="0" applyNumberFormat="1" applyFont="1" applyAlignment="1">
      <alignment horizontal="right"/>
    </xf>
    <xf numFmtId="166" fontId="8" fillId="0" borderId="0" xfId="0" applyNumberFormat="1" applyFont="1" applyAlignment="1">
      <alignment horizontal="right"/>
    </xf>
    <xf numFmtId="0" fontId="9" fillId="0" borderId="0" xfId="0" applyFont="1"/>
    <xf numFmtId="0" fontId="10" fillId="5" borderId="0" xfId="0" applyFont="1" applyFill="1" applyAlignment="1">
      <alignment horizontal="center"/>
    </xf>
    <xf numFmtId="0" fontId="10" fillId="4" borderId="0" xfId="0" applyFont="1" applyFill="1" applyAlignment="1">
      <alignment horizontal="center"/>
    </xf>
    <xf numFmtId="0" fontId="10" fillId="8" borderId="0" xfId="0" applyFont="1" applyFill="1" applyAlignment="1">
      <alignment horizontal="center"/>
    </xf>
    <xf numFmtId="0" fontId="10" fillId="9" borderId="0" xfId="0" applyFont="1" applyFill="1" applyAlignment="1">
      <alignment horizontal="center"/>
    </xf>
    <xf numFmtId="0" fontId="11" fillId="0" borderId="0" xfId="0" applyFont="1"/>
    <xf numFmtId="0" fontId="0" fillId="3" borderId="1" xfId="0" applyFill="1" applyBorder="1" applyAlignment="1">
      <alignment wrapText="1"/>
    </xf>
    <xf numFmtId="0" fontId="1" fillId="3" borderId="2" xfId="0" applyFont="1" applyFill="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6100"/>
      <rgbColor rgb="FF000080"/>
      <rgbColor rgb="FF808000"/>
      <rgbColor rgb="FF800080"/>
      <rgbColor rgb="FF008080"/>
      <rgbColor rgb="FFBFBFBF"/>
      <rgbColor rgb="FF808080"/>
      <rgbColor rgb="FF9999FF"/>
      <rgbColor rgb="FF993366"/>
      <rgbColor rgb="FFEBF1DE"/>
      <rgbColor rgb="FFDBEE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DEADA"/>
      <rgbColor rgb="FFC6EFCE"/>
      <rgbColor rgb="FFFFEB9C"/>
      <rgbColor rgb="FF99CCFF"/>
      <rgbColor rgb="FFF4B084"/>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309240</xdr:colOff>
      <xdr:row>0</xdr:row>
      <xdr:rowOff>31320</xdr:rowOff>
    </xdr:from>
    <xdr:to>
      <xdr:col>1</xdr:col>
      <xdr:colOff>797400</xdr:colOff>
      <xdr:row>0</xdr:row>
      <xdr:rowOff>1421640</xdr:rowOff>
    </xdr:to>
    <xdr:pic>
      <xdr:nvPicPr>
        <xdr:cNvPr id="2" name="Imagen 2" descr="Hospitales MAC | LinkedIn">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309240" y="31320"/>
          <a:ext cx="1697760" cy="1390320"/>
        </a:xfrm>
        <a:prstGeom prst="rect">
          <a:avLst/>
        </a:prstGeom>
        <a:noFill/>
        <a:ln w="0">
          <a:noFill/>
        </a:ln>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4"/>
  <sheetViews>
    <sheetView tabSelected="1" topLeftCell="A16" zoomScale="59" zoomScaleNormal="160" workbookViewId="0">
      <selection activeCell="F12" sqref="F12"/>
    </sheetView>
  </sheetViews>
  <sheetFormatPr baseColWidth="10" defaultColWidth="0" defaultRowHeight="15" zeroHeight="1"/>
  <cols>
    <col min="1" max="1" width="17.1640625" customWidth="1"/>
    <col min="2" max="2" width="26.5" customWidth="1"/>
    <col min="3" max="3" width="49.1640625" bestFit="1" customWidth="1"/>
    <col min="4" max="4" width="48" bestFit="1" customWidth="1"/>
    <col min="5" max="5" width="30" customWidth="1"/>
    <col min="6" max="6" width="70" style="4" customWidth="1"/>
    <col min="7" max="7" width="12" customWidth="1"/>
    <col min="8" max="8" width="11.1640625" customWidth="1"/>
    <col min="9" max="10" width="12" customWidth="1"/>
    <col min="11" max="11" width="9.1640625" customWidth="1"/>
    <col min="12" max="16384" width="9.1640625" hidden="1"/>
  </cols>
  <sheetData>
    <row r="1" spans="1:11" s="8" customFormat="1" ht="154.5" customHeight="1">
      <c r="A1" s="5" t="s">
        <v>0</v>
      </c>
      <c r="B1" s="5" t="s">
        <v>1</v>
      </c>
      <c r="C1" s="5" t="s">
        <v>2</v>
      </c>
      <c r="D1" s="5" t="s">
        <v>3</v>
      </c>
      <c r="E1" s="5" t="s">
        <v>4</v>
      </c>
      <c r="F1" s="6" t="s">
        <v>5</v>
      </c>
      <c r="G1" s="7" t="s">
        <v>6</v>
      </c>
      <c r="H1" s="5" t="s">
        <v>7</v>
      </c>
      <c r="I1" s="5" t="s">
        <v>8</v>
      </c>
      <c r="J1" s="5" t="s">
        <v>9</v>
      </c>
    </row>
    <row r="2" spans="1:11" ht="139.5" customHeight="1">
      <c r="A2" s="9" t="s">
        <v>10</v>
      </c>
      <c r="B2" s="27" t="s">
        <v>11</v>
      </c>
      <c r="C2" s="27" t="s">
        <v>12</v>
      </c>
      <c r="D2" s="27" t="s">
        <v>13</v>
      </c>
      <c r="E2" s="27" t="s">
        <v>14</v>
      </c>
      <c r="F2" s="28" t="s">
        <v>202</v>
      </c>
      <c r="G2" s="9" t="s">
        <v>201</v>
      </c>
      <c r="H2" s="9" t="s">
        <v>16</v>
      </c>
      <c r="I2" s="9">
        <v>10</v>
      </c>
      <c r="J2" s="11">
        <f t="shared" ref="J2:J34" si="0">IF(G2="Si",I2,IF(G2="Parcial",I2*0.5,0))</f>
        <v>0</v>
      </c>
    </row>
    <row r="3" spans="1:11" ht="181.5" customHeight="1">
      <c r="A3" s="9" t="s">
        <v>10</v>
      </c>
      <c r="B3" s="9" t="s">
        <v>17</v>
      </c>
      <c r="C3" s="9" t="s">
        <v>18</v>
      </c>
      <c r="D3" s="9" t="s">
        <v>19</v>
      </c>
      <c r="E3" s="9" t="s">
        <v>20</v>
      </c>
      <c r="F3" s="28" t="s">
        <v>21</v>
      </c>
      <c r="G3" s="9" t="s">
        <v>22</v>
      </c>
      <c r="H3" s="9" t="s">
        <v>16</v>
      </c>
      <c r="I3" s="9">
        <v>10</v>
      </c>
      <c r="J3" s="11">
        <f t="shared" si="0"/>
        <v>10</v>
      </c>
    </row>
    <row r="4" spans="1:11" ht="153.75" customHeight="1">
      <c r="A4" s="9" t="s">
        <v>10</v>
      </c>
      <c r="B4" s="9" t="s">
        <v>23</v>
      </c>
      <c r="C4" s="9" t="s">
        <v>24</v>
      </c>
      <c r="D4" s="9" t="s">
        <v>25</v>
      </c>
      <c r="E4" s="9" t="s">
        <v>26</v>
      </c>
      <c r="F4" s="28" t="s">
        <v>203</v>
      </c>
      <c r="G4" s="9" t="s">
        <v>22</v>
      </c>
      <c r="H4" s="9" t="s">
        <v>16</v>
      </c>
      <c r="I4" s="9">
        <v>10</v>
      </c>
      <c r="J4" s="11">
        <f t="shared" si="0"/>
        <v>10</v>
      </c>
    </row>
    <row r="5" spans="1:11" ht="159.75" customHeight="1">
      <c r="A5" s="12" t="s">
        <v>27</v>
      </c>
      <c r="B5" s="12" t="s">
        <v>28</v>
      </c>
      <c r="C5" s="12" t="s">
        <v>29</v>
      </c>
      <c r="D5" s="12" t="s">
        <v>30</v>
      </c>
      <c r="E5" s="12" t="s">
        <v>31</v>
      </c>
      <c r="F5" s="13" t="s">
        <v>32</v>
      </c>
      <c r="G5" s="12" t="s">
        <v>22</v>
      </c>
      <c r="H5" s="12" t="s">
        <v>16</v>
      </c>
      <c r="I5" s="12">
        <v>10</v>
      </c>
      <c r="J5" s="14">
        <f t="shared" si="0"/>
        <v>10</v>
      </c>
    </row>
    <row r="6" spans="1:11" ht="144" customHeight="1">
      <c r="A6" s="12" t="s">
        <v>27</v>
      </c>
      <c r="B6" s="12" t="s">
        <v>33</v>
      </c>
      <c r="C6" s="12" t="s">
        <v>34</v>
      </c>
      <c r="D6" s="12" t="s">
        <v>35</v>
      </c>
      <c r="E6" s="12" t="s">
        <v>36</v>
      </c>
      <c r="F6" s="13" t="s">
        <v>37</v>
      </c>
      <c r="G6" s="12" t="s">
        <v>22</v>
      </c>
      <c r="H6" s="12" t="s">
        <v>38</v>
      </c>
      <c r="I6" s="12">
        <v>8</v>
      </c>
      <c r="J6" s="14">
        <f t="shared" si="0"/>
        <v>8</v>
      </c>
    </row>
    <row r="7" spans="1:11" ht="175.5" customHeight="1">
      <c r="A7" s="12" t="s">
        <v>27</v>
      </c>
      <c r="B7" s="12" t="s">
        <v>39</v>
      </c>
      <c r="C7" s="12" t="s">
        <v>40</v>
      </c>
      <c r="D7" s="12" t="s">
        <v>41</v>
      </c>
      <c r="E7" s="12" t="s">
        <v>42</v>
      </c>
      <c r="F7" s="13" t="s">
        <v>43</v>
      </c>
      <c r="G7" s="12" t="s">
        <v>15</v>
      </c>
      <c r="H7" s="12" t="s">
        <v>38</v>
      </c>
      <c r="I7" s="12">
        <v>7</v>
      </c>
      <c r="J7" s="14">
        <f t="shared" si="0"/>
        <v>3.5</v>
      </c>
    </row>
    <row r="8" spans="1:11" ht="175.5" customHeight="1">
      <c r="A8" s="12" t="s">
        <v>27</v>
      </c>
      <c r="B8" s="12" t="s">
        <v>44</v>
      </c>
      <c r="C8" s="12" t="s">
        <v>45</v>
      </c>
      <c r="D8" s="12" t="s">
        <v>46</v>
      </c>
      <c r="E8" s="12" t="s">
        <v>47</v>
      </c>
      <c r="F8" s="13" t="s">
        <v>48</v>
      </c>
      <c r="G8" s="12" t="s">
        <v>22</v>
      </c>
      <c r="H8" s="12" t="s">
        <v>38</v>
      </c>
      <c r="I8" s="12">
        <v>7</v>
      </c>
      <c r="J8" s="14">
        <f t="shared" si="0"/>
        <v>7</v>
      </c>
    </row>
    <row r="9" spans="1:11" ht="126" customHeight="1">
      <c r="A9" s="9" t="s">
        <v>49</v>
      </c>
      <c r="B9" s="9" t="s">
        <v>50</v>
      </c>
      <c r="C9" s="9" t="s">
        <v>51</v>
      </c>
      <c r="D9" s="9" t="s">
        <v>52</v>
      </c>
      <c r="E9" s="9" t="s">
        <v>53</v>
      </c>
      <c r="F9" s="10" t="s">
        <v>54</v>
      </c>
      <c r="G9" s="9" t="s">
        <v>22</v>
      </c>
      <c r="H9" s="9" t="s">
        <v>16</v>
      </c>
      <c r="I9" s="9">
        <v>10</v>
      </c>
      <c r="J9" s="11">
        <f t="shared" si="0"/>
        <v>10</v>
      </c>
      <c r="K9" s="15"/>
    </row>
    <row r="10" spans="1:11" ht="139.5" customHeight="1">
      <c r="A10" s="9" t="s">
        <v>49</v>
      </c>
      <c r="B10" s="9" t="s">
        <v>55</v>
      </c>
      <c r="C10" s="9" t="s">
        <v>56</v>
      </c>
      <c r="D10" s="9" t="s">
        <v>57</v>
      </c>
      <c r="E10" s="9" t="s">
        <v>58</v>
      </c>
      <c r="F10" s="10" t="s">
        <v>59</v>
      </c>
      <c r="G10" s="9" t="s">
        <v>22</v>
      </c>
      <c r="H10" s="9" t="s">
        <v>16</v>
      </c>
      <c r="I10" s="9">
        <v>9</v>
      </c>
      <c r="J10" s="11">
        <f t="shared" si="0"/>
        <v>9</v>
      </c>
      <c r="K10" s="15"/>
    </row>
    <row r="11" spans="1:11" ht="153.75" customHeight="1">
      <c r="A11" s="9" t="s">
        <v>49</v>
      </c>
      <c r="B11" s="9" t="s">
        <v>60</v>
      </c>
      <c r="C11" s="9" t="s">
        <v>61</v>
      </c>
      <c r="D11" s="9" t="s">
        <v>62</v>
      </c>
      <c r="E11" s="9" t="s">
        <v>63</v>
      </c>
      <c r="F11" s="10" t="s">
        <v>64</v>
      </c>
      <c r="G11" s="9" t="s">
        <v>22</v>
      </c>
      <c r="H11" s="9" t="s">
        <v>38</v>
      </c>
      <c r="I11" s="9">
        <v>7</v>
      </c>
      <c r="J11" s="11">
        <f t="shared" si="0"/>
        <v>7</v>
      </c>
      <c r="K11" s="15"/>
    </row>
    <row r="12" spans="1:11" ht="139.5" customHeight="1">
      <c r="A12" s="9" t="s">
        <v>49</v>
      </c>
      <c r="B12" s="9" t="s">
        <v>65</v>
      </c>
      <c r="C12" s="9" t="s">
        <v>66</v>
      </c>
      <c r="D12" s="9" t="s">
        <v>67</v>
      </c>
      <c r="E12" s="9" t="s">
        <v>68</v>
      </c>
      <c r="F12" s="10" t="s">
        <v>69</v>
      </c>
      <c r="G12" s="9" t="s">
        <v>22</v>
      </c>
      <c r="H12" s="9" t="s">
        <v>16</v>
      </c>
      <c r="I12" s="9">
        <v>9</v>
      </c>
      <c r="J12" s="11">
        <f t="shared" si="0"/>
        <v>9</v>
      </c>
      <c r="K12" s="15"/>
    </row>
    <row r="13" spans="1:11" ht="144" customHeight="1">
      <c r="A13" s="12" t="s">
        <v>70</v>
      </c>
      <c r="B13" s="12" t="s">
        <v>71</v>
      </c>
      <c r="C13" s="12" t="s">
        <v>72</v>
      </c>
      <c r="D13" s="12" t="s">
        <v>73</v>
      </c>
      <c r="E13" s="12" t="s">
        <v>74</v>
      </c>
      <c r="F13" s="13" t="s">
        <v>75</v>
      </c>
      <c r="G13" s="12" t="s">
        <v>15</v>
      </c>
      <c r="H13" s="12" t="s">
        <v>16</v>
      </c>
      <c r="I13" s="12">
        <v>10</v>
      </c>
      <c r="J13" s="14">
        <f t="shared" si="0"/>
        <v>5</v>
      </c>
    </row>
    <row r="14" spans="1:11" ht="175.5" customHeight="1">
      <c r="A14" s="12" t="s">
        <v>70</v>
      </c>
      <c r="B14" s="12" t="s">
        <v>76</v>
      </c>
      <c r="C14" s="12" t="s">
        <v>77</v>
      </c>
      <c r="D14" s="12" t="s">
        <v>78</v>
      </c>
      <c r="E14" s="12" t="s">
        <v>79</v>
      </c>
      <c r="F14" s="13" t="s">
        <v>80</v>
      </c>
      <c r="G14" s="12" t="s">
        <v>22</v>
      </c>
      <c r="H14" s="12" t="s">
        <v>16</v>
      </c>
      <c r="I14" s="12">
        <v>9</v>
      </c>
      <c r="J14" s="14">
        <f t="shared" si="0"/>
        <v>9</v>
      </c>
    </row>
    <row r="15" spans="1:11" ht="144" customHeight="1">
      <c r="A15" s="12" t="s">
        <v>70</v>
      </c>
      <c r="B15" s="12" t="s">
        <v>81</v>
      </c>
      <c r="C15" s="12" t="s">
        <v>82</v>
      </c>
      <c r="D15" s="12" t="s">
        <v>83</v>
      </c>
      <c r="E15" s="12" t="s">
        <v>84</v>
      </c>
      <c r="F15" s="13" t="s">
        <v>85</v>
      </c>
      <c r="G15" s="12" t="s">
        <v>22</v>
      </c>
      <c r="H15" s="12" t="s">
        <v>16</v>
      </c>
      <c r="I15" s="12">
        <v>10</v>
      </c>
      <c r="J15" s="14">
        <f t="shared" si="0"/>
        <v>10</v>
      </c>
    </row>
    <row r="16" spans="1:11" ht="159.75" customHeight="1">
      <c r="A16" s="12" t="s">
        <v>70</v>
      </c>
      <c r="B16" s="12" t="s">
        <v>86</v>
      </c>
      <c r="C16" s="12" t="s">
        <v>87</v>
      </c>
      <c r="D16" s="12" t="s">
        <v>88</v>
      </c>
      <c r="E16" s="12" t="s">
        <v>89</v>
      </c>
      <c r="F16" s="13" t="s">
        <v>90</v>
      </c>
      <c r="G16" s="12" t="s">
        <v>22</v>
      </c>
      <c r="H16" s="12" t="s">
        <v>16</v>
      </c>
      <c r="I16" s="12">
        <v>8</v>
      </c>
      <c r="J16" s="14">
        <f t="shared" si="0"/>
        <v>8</v>
      </c>
    </row>
    <row r="17" spans="1:11" ht="126" customHeight="1">
      <c r="A17" s="9" t="s">
        <v>91</v>
      </c>
      <c r="B17" s="9" t="s">
        <v>92</v>
      </c>
      <c r="C17" s="9" t="s">
        <v>93</v>
      </c>
      <c r="D17" s="9" t="s">
        <v>94</v>
      </c>
      <c r="E17" s="9" t="s">
        <v>95</v>
      </c>
      <c r="F17" s="10" t="s">
        <v>96</v>
      </c>
      <c r="G17" s="9" t="s">
        <v>22</v>
      </c>
      <c r="H17" s="9" t="s">
        <v>16</v>
      </c>
      <c r="I17" s="9">
        <v>9</v>
      </c>
      <c r="J17" s="11">
        <f t="shared" si="0"/>
        <v>9</v>
      </c>
    </row>
    <row r="18" spans="1:11" ht="111.75" customHeight="1">
      <c r="A18" s="9" t="s">
        <v>91</v>
      </c>
      <c r="B18" s="9" t="s">
        <v>97</v>
      </c>
      <c r="C18" s="9" t="s">
        <v>98</v>
      </c>
      <c r="D18" s="9" t="s">
        <v>99</v>
      </c>
      <c r="E18" s="9" t="s">
        <v>100</v>
      </c>
      <c r="F18" s="10" t="s">
        <v>101</v>
      </c>
      <c r="G18" s="9" t="s">
        <v>22</v>
      </c>
      <c r="H18" s="9" t="s">
        <v>38</v>
      </c>
      <c r="I18" s="9">
        <v>8</v>
      </c>
      <c r="J18" s="11">
        <f t="shared" si="0"/>
        <v>8</v>
      </c>
    </row>
    <row r="19" spans="1:11" ht="126" customHeight="1">
      <c r="A19" s="9" t="s">
        <v>91</v>
      </c>
      <c r="B19" s="9" t="s">
        <v>102</v>
      </c>
      <c r="C19" s="9" t="s">
        <v>103</v>
      </c>
      <c r="D19" s="9" t="s">
        <v>104</v>
      </c>
      <c r="E19" s="9" t="s">
        <v>105</v>
      </c>
      <c r="F19" s="10" t="s">
        <v>106</v>
      </c>
      <c r="G19" s="9" t="s">
        <v>22</v>
      </c>
      <c r="H19" s="9" t="s">
        <v>38</v>
      </c>
      <c r="I19" s="9">
        <v>7</v>
      </c>
      <c r="J19" s="11">
        <f t="shared" si="0"/>
        <v>7</v>
      </c>
    </row>
    <row r="20" spans="1:11" ht="127.5" customHeight="1">
      <c r="A20" s="12" t="s">
        <v>107</v>
      </c>
      <c r="B20" s="12" t="s">
        <v>108</v>
      </c>
      <c r="C20" s="12" t="s">
        <v>109</v>
      </c>
      <c r="D20" s="12" t="s">
        <v>110</v>
      </c>
      <c r="E20" s="12" t="s">
        <v>111</v>
      </c>
      <c r="F20" s="13" t="s">
        <v>112</v>
      </c>
      <c r="G20" s="12" t="s">
        <v>15</v>
      </c>
      <c r="H20" s="12" t="s">
        <v>16</v>
      </c>
      <c r="I20" s="12">
        <v>10</v>
      </c>
      <c r="J20" s="14">
        <f t="shared" si="0"/>
        <v>5</v>
      </c>
    </row>
    <row r="21" spans="1:11" ht="159.75" customHeight="1">
      <c r="A21" s="12" t="s">
        <v>107</v>
      </c>
      <c r="B21" s="12" t="s">
        <v>113</v>
      </c>
      <c r="C21" s="12" t="s">
        <v>114</v>
      </c>
      <c r="D21" s="12" t="s">
        <v>115</v>
      </c>
      <c r="E21" s="12" t="s">
        <v>116</v>
      </c>
      <c r="F21" s="13" t="s">
        <v>117</v>
      </c>
      <c r="G21" s="12" t="s">
        <v>22</v>
      </c>
      <c r="H21" s="12" t="s">
        <v>16</v>
      </c>
      <c r="I21" s="12">
        <v>10</v>
      </c>
      <c r="J21" s="14">
        <f t="shared" si="0"/>
        <v>10</v>
      </c>
    </row>
    <row r="22" spans="1:11" ht="127.5" customHeight="1">
      <c r="A22" s="12" t="s">
        <v>107</v>
      </c>
      <c r="B22" s="12" t="s">
        <v>118</v>
      </c>
      <c r="C22" s="12" t="s">
        <v>119</v>
      </c>
      <c r="D22" s="12" t="s">
        <v>120</v>
      </c>
      <c r="E22" s="12" t="s">
        <v>121</v>
      </c>
      <c r="F22" s="13" t="s">
        <v>122</v>
      </c>
      <c r="G22" s="12" t="s">
        <v>15</v>
      </c>
      <c r="H22" s="12" t="s">
        <v>38</v>
      </c>
      <c r="I22" s="12">
        <v>8</v>
      </c>
      <c r="J22" s="14">
        <f t="shared" si="0"/>
        <v>4</v>
      </c>
    </row>
    <row r="23" spans="1:11" ht="153.75" customHeight="1">
      <c r="A23" s="9" t="s">
        <v>123</v>
      </c>
      <c r="B23" s="9" t="s">
        <v>124</v>
      </c>
      <c r="C23" s="9" t="s">
        <v>125</v>
      </c>
      <c r="D23" s="9" t="s">
        <v>126</v>
      </c>
      <c r="E23" s="9" t="s">
        <v>127</v>
      </c>
      <c r="F23" s="10" t="s">
        <v>128</v>
      </c>
      <c r="G23" s="9" t="s">
        <v>15</v>
      </c>
      <c r="H23" s="9" t="s">
        <v>16</v>
      </c>
      <c r="I23" s="9">
        <v>9</v>
      </c>
      <c r="J23" s="11">
        <f t="shared" si="0"/>
        <v>4.5</v>
      </c>
    </row>
    <row r="24" spans="1:11" ht="97.5" customHeight="1">
      <c r="A24" s="9" t="s">
        <v>123</v>
      </c>
      <c r="B24" s="9" t="s">
        <v>129</v>
      </c>
      <c r="C24" s="9" t="s">
        <v>130</v>
      </c>
      <c r="D24" s="9" t="s">
        <v>131</v>
      </c>
      <c r="E24" s="9" t="s">
        <v>132</v>
      </c>
      <c r="F24" s="10" t="s">
        <v>133</v>
      </c>
      <c r="G24" s="9" t="s">
        <v>22</v>
      </c>
      <c r="H24" s="9" t="s">
        <v>16</v>
      </c>
      <c r="I24" s="9">
        <v>9</v>
      </c>
      <c r="J24" s="11">
        <f t="shared" si="0"/>
        <v>9</v>
      </c>
    </row>
    <row r="25" spans="1:11" ht="126" customHeight="1">
      <c r="A25" s="9" t="s">
        <v>123</v>
      </c>
      <c r="B25" s="9" t="s">
        <v>134</v>
      </c>
      <c r="C25" s="9" t="s">
        <v>135</v>
      </c>
      <c r="D25" s="9" t="s">
        <v>136</v>
      </c>
      <c r="E25" s="9" t="s">
        <v>137</v>
      </c>
      <c r="F25" s="10" t="s">
        <v>138</v>
      </c>
      <c r="G25" s="9" t="s">
        <v>22</v>
      </c>
      <c r="H25" s="9" t="s">
        <v>16</v>
      </c>
      <c r="I25" s="9">
        <v>10</v>
      </c>
      <c r="J25" s="11">
        <f t="shared" si="0"/>
        <v>10</v>
      </c>
    </row>
    <row r="26" spans="1:11" ht="126" customHeight="1">
      <c r="A26" s="9" t="s">
        <v>123</v>
      </c>
      <c r="B26" s="9" t="s">
        <v>139</v>
      </c>
      <c r="C26" s="9" t="s">
        <v>140</v>
      </c>
      <c r="D26" s="9" t="s">
        <v>141</v>
      </c>
      <c r="E26" s="9" t="s">
        <v>142</v>
      </c>
      <c r="F26" s="10" t="s">
        <v>143</v>
      </c>
      <c r="G26" s="9" t="s">
        <v>22</v>
      </c>
      <c r="H26" s="9" t="s">
        <v>38</v>
      </c>
      <c r="I26" s="9">
        <v>8</v>
      </c>
      <c r="J26" s="11">
        <f t="shared" si="0"/>
        <v>8</v>
      </c>
    </row>
    <row r="27" spans="1:11" ht="111.75" customHeight="1">
      <c r="A27" s="12" t="s">
        <v>144</v>
      </c>
      <c r="B27" s="12" t="s">
        <v>145</v>
      </c>
      <c r="C27" s="12" t="s">
        <v>146</v>
      </c>
      <c r="D27" s="12" t="s">
        <v>147</v>
      </c>
      <c r="E27" s="12" t="s">
        <v>148</v>
      </c>
      <c r="F27" s="13" t="s">
        <v>149</v>
      </c>
      <c r="G27" s="12" t="s">
        <v>22</v>
      </c>
      <c r="H27" s="12" t="s">
        <v>16</v>
      </c>
      <c r="I27" s="12">
        <v>8</v>
      </c>
      <c r="J27" s="14">
        <f t="shared" si="0"/>
        <v>8</v>
      </c>
      <c r="K27" s="16"/>
    </row>
    <row r="28" spans="1:11" ht="144" customHeight="1">
      <c r="A28" s="12" t="s">
        <v>144</v>
      </c>
      <c r="B28" s="12" t="s">
        <v>150</v>
      </c>
      <c r="C28" s="12" t="s">
        <v>151</v>
      </c>
      <c r="D28" s="12" t="s">
        <v>120</v>
      </c>
      <c r="E28" s="12" t="s">
        <v>152</v>
      </c>
      <c r="F28" s="13" t="s">
        <v>153</v>
      </c>
      <c r="G28" s="12" t="s">
        <v>22</v>
      </c>
      <c r="H28" s="12" t="s">
        <v>38</v>
      </c>
      <c r="I28" s="12">
        <v>7</v>
      </c>
      <c r="J28" s="14">
        <f t="shared" si="0"/>
        <v>7</v>
      </c>
      <c r="K28" s="16"/>
    </row>
    <row r="29" spans="1:11" ht="111.75" customHeight="1">
      <c r="A29" s="12" t="s">
        <v>144</v>
      </c>
      <c r="B29" s="12" t="s">
        <v>154</v>
      </c>
      <c r="C29" s="12" t="s">
        <v>155</v>
      </c>
      <c r="D29" s="12" t="s">
        <v>156</v>
      </c>
      <c r="E29" s="12" t="s">
        <v>157</v>
      </c>
      <c r="F29" s="13" t="s">
        <v>158</v>
      </c>
      <c r="G29" s="12" t="s">
        <v>22</v>
      </c>
      <c r="H29" s="12" t="s">
        <v>38</v>
      </c>
      <c r="I29" s="12">
        <v>6</v>
      </c>
      <c r="J29" s="14">
        <f t="shared" si="0"/>
        <v>6</v>
      </c>
      <c r="K29" s="16"/>
    </row>
    <row r="30" spans="1:11" ht="139.5" customHeight="1">
      <c r="A30" s="9" t="s">
        <v>159</v>
      </c>
      <c r="B30" s="9" t="s">
        <v>160</v>
      </c>
      <c r="C30" s="9" t="s">
        <v>161</v>
      </c>
      <c r="D30" s="9" t="s">
        <v>162</v>
      </c>
      <c r="E30" s="9" t="s">
        <v>163</v>
      </c>
      <c r="F30" s="10" t="s">
        <v>164</v>
      </c>
      <c r="G30" s="9" t="s">
        <v>22</v>
      </c>
      <c r="H30" s="9" t="s">
        <v>38</v>
      </c>
      <c r="I30" s="9">
        <v>6</v>
      </c>
      <c r="J30" s="11">
        <f t="shared" si="0"/>
        <v>6</v>
      </c>
    </row>
    <row r="31" spans="1:11" ht="111.75" customHeight="1">
      <c r="A31" s="9" t="s">
        <v>159</v>
      </c>
      <c r="B31" s="9" t="s">
        <v>165</v>
      </c>
      <c r="C31" s="9" t="s">
        <v>166</v>
      </c>
      <c r="D31" s="9" t="s">
        <v>167</v>
      </c>
      <c r="E31" s="9" t="s">
        <v>168</v>
      </c>
      <c r="F31" s="10" t="s">
        <v>169</v>
      </c>
      <c r="G31" s="9" t="s">
        <v>22</v>
      </c>
      <c r="H31" s="9" t="s">
        <v>38</v>
      </c>
      <c r="I31" s="9">
        <v>6</v>
      </c>
      <c r="J31" s="11">
        <f t="shared" si="0"/>
        <v>6</v>
      </c>
    </row>
    <row r="32" spans="1:11" ht="159.75" customHeight="1">
      <c r="A32" s="12" t="s">
        <v>170</v>
      </c>
      <c r="B32" s="12" t="s">
        <v>171</v>
      </c>
      <c r="C32" s="12" t="s">
        <v>172</v>
      </c>
      <c r="D32" s="12" t="s">
        <v>67</v>
      </c>
      <c r="E32" s="12" t="s">
        <v>68</v>
      </c>
      <c r="F32" s="13" t="s">
        <v>173</v>
      </c>
      <c r="G32" s="12" t="s">
        <v>22</v>
      </c>
      <c r="H32" s="12" t="s">
        <v>16</v>
      </c>
      <c r="I32" s="12">
        <v>10</v>
      </c>
      <c r="J32" s="14">
        <f t="shared" si="0"/>
        <v>10</v>
      </c>
    </row>
    <row r="33" spans="1:10" ht="127.5" customHeight="1">
      <c r="A33" s="12" t="s">
        <v>170</v>
      </c>
      <c r="B33" s="12" t="s">
        <v>174</v>
      </c>
      <c r="C33" s="12" t="s">
        <v>175</v>
      </c>
      <c r="D33" s="12" t="s">
        <v>176</v>
      </c>
      <c r="E33" s="12" t="s">
        <v>177</v>
      </c>
      <c r="F33" s="13" t="s">
        <v>178</v>
      </c>
      <c r="G33" s="12" t="s">
        <v>22</v>
      </c>
      <c r="H33" s="12" t="s">
        <v>16</v>
      </c>
      <c r="I33" s="12">
        <v>9</v>
      </c>
      <c r="J33" s="14">
        <f t="shared" si="0"/>
        <v>9</v>
      </c>
    </row>
    <row r="34" spans="1:10" ht="127.5" customHeight="1">
      <c r="A34" s="12" t="s">
        <v>170</v>
      </c>
      <c r="B34" s="12" t="s">
        <v>179</v>
      </c>
      <c r="C34" s="12" t="s">
        <v>180</v>
      </c>
      <c r="D34" s="12" t="s">
        <v>62</v>
      </c>
      <c r="E34" s="12" t="s">
        <v>63</v>
      </c>
      <c r="F34" s="13" t="s">
        <v>181</v>
      </c>
      <c r="G34" s="12" t="s">
        <v>22</v>
      </c>
      <c r="H34" s="12" t="s">
        <v>16</v>
      </c>
      <c r="I34" s="12">
        <v>9</v>
      </c>
      <c r="J34" s="14">
        <f t="shared" si="0"/>
        <v>9</v>
      </c>
    </row>
  </sheetData>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7"/>
  <sheetViews>
    <sheetView zoomScaleNormal="100" workbookViewId="0">
      <selection activeCell="A4" sqref="A4"/>
    </sheetView>
  </sheetViews>
  <sheetFormatPr baseColWidth="10" defaultColWidth="9.1640625" defaultRowHeight="15"/>
  <cols>
    <col min="1" max="1" width="32" customWidth="1"/>
    <col min="2" max="2" width="44" customWidth="1"/>
    <col min="3" max="3" width="20" customWidth="1"/>
  </cols>
  <sheetData>
    <row r="1" spans="1:3" ht="27.75" customHeight="1">
      <c r="A1" s="3" t="s">
        <v>182</v>
      </c>
      <c r="B1" s="3"/>
      <c r="C1" s="3"/>
    </row>
    <row r="3" spans="1:3" ht="16">
      <c r="A3" s="17" t="s">
        <v>183</v>
      </c>
      <c r="B3" s="17" t="s">
        <v>184</v>
      </c>
    </row>
    <row r="4" spans="1:3">
      <c r="A4" s="18" t="s">
        <v>185</v>
      </c>
      <c r="B4" s="19">
        <f>SUM('Evaluación SaaS'!I2:I34)</f>
        <v>283</v>
      </c>
    </row>
    <row r="5" spans="1:3">
      <c r="A5" s="18" t="s">
        <v>186</v>
      </c>
      <c r="B5" s="19">
        <f>SUM('Evaluación SaaS'!J2:J34)</f>
        <v>251</v>
      </c>
    </row>
    <row r="6" spans="1:3">
      <c r="A6" s="18" t="s">
        <v>187</v>
      </c>
      <c r="B6" s="20">
        <f>B5/B4</f>
        <v>0.88692579505300351</v>
      </c>
    </row>
    <row r="7" spans="1:3">
      <c r="A7" s="18" t="s">
        <v>188</v>
      </c>
      <c r="B7" s="19">
        <f>COUNTIF('Evaluación SaaS'!G2:G34,"Si")</f>
        <v>27</v>
      </c>
    </row>
    <row r="8" spans="1:3">
      <c r="A8" s="18" t="s">
        <v>189</v>
      </c>
      <c r="B8" s="19">
        <f>COUNTIF('Evaluación SaaS'!G2:G34,"Parcial")</f>
        <v>5</v>
      </c>
    </row>
    <row r="9" spans="1:3">
      <c r="A9" s="18" t="s">
        <v>190</v>
      </c>
      <c r="B9" s="19">
        <f>COUNTIF('Evaluación SaaS'!G2:G34,"No")</f>
        <v>1</v>
      </c>
    </row>
    <row r="11" spans="1:3" ht="16">
      <c r="A11" s="21" t="s">
        <v>191</v>
      </c>
    </row>
    <row r="12" spans="1:3">
      <c r="A12" s="22" t="s">
        <v>192</v>
      </c>
      <c r="B12" s="2" t="s">
        <v>193</v>
      </c>
      <c r="C12" s="2"/>
    </row>
    <row r="13" spans="1:3">
      <c r="A13" s="23" t="s">
        <v>194</v>
      </c>
      <c r="B13" s="2" t="s">
        <v>195</v>
      </c>
      <c r="C13" s="2"/>
    </row>
    <row r="14" spans="1:3">
      <c r="A14" s="24" t="s">
        <v>196</v>
      </c>
      <c r="B14" s="2" t="s">
        <v>197</v>
      </c>
      <c r="C14" s="2"/>
    </row>
    <row r="15" spans="1:3">
      <c r="A15" s="25" t="s">
        <v>198</v>
      </c>
      <c r="B15" s="2" t="s">
        <v>199</v>
      </c>
      <c r="C15" s="2"/>
    </row>
    <row r="17" spans="1:3" ht="16">
      <c r="A17" s="26" t="s">
        <v>200</v>
      </c>
      <c r="B17" s="1" t="str">
        <f>IF(B6&gt;=0.9,"Riesgo BAJO – Apto para operación inmediata",IF(B6&gt;=0.7,"Riesgo MEDIO – Apto con plan de remediación",IF(B6&gt;=0.5,"Riesgo ALTO – Requiere remediación previa","Riesgo CRÍTICO – No apto")))</f>
        <v>Riesgo MEDIO – Apto con plan de remediación</v>
      </c>
      <c r="C17" s="1"/>
    </row>
  </sheetData>
  <mergeCells count="6">
    <mergeCell ref="B17:C17"/>
    <mergeCell ref="A1:C1"/>
    <mergeCell ref="B12:C12"/>
    <mergeCell ref="B13:C13"/>
    <mergeCell ref="B14:C14"/>
    <mergeCell ref="B15:C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Evaluación SaaS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ji 10308</cp:lastModifiedBy>
  <cp:revision>0</cp:revision>
  <dcterms:created xsi:type="dcterms:W3CDTF">2025-12-09T15:55:24Z</dcterms:created>
  <dcterms:modified xsi:type="dcterms:W3CDTF">2026-04-25T21:31:29Z</dcterms:modified>
  <dc:language>en-US</dc:language>
</cp:coreProperties>
</file>